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ther Software\ARRPE\"/>
    </mc:Choice>
  </mc:AlternateContent>
  <xr:revisionPtr revIDLastSave="0" documentId="13_ncr:1_{799717B2-721E-4ED8-B59C-8D650D0EB4E1}" xr6:coauthVersionLast="47" xr6:coauthVersionMax="47" xr10:uidLastSave="{00000000-0000-0000-0000-000000000000}"/>
  <bookViews>
    <workbookView xWindow="-110" yWindow="-110" windowWidth="19420" windowHeight="11020" xr2:uid="{6D933F87-6869-4DD3-BE7A-1FC7BE252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1" l="1"/>
  <c r="H51" i="1"/>
  <c r="I51" i="1"/>
  <c r="J51" i="1"/>
  <c r="K51" i="1"/>
  <c r="L51" i="1"/>
  <c r="M51" i="1"/>
  <c r="N51" i="1"/>
  <c r="O51" i="1"/>
  <c r="G52" i="1"/>
  <c r="H52" i="1"/>
  <c r="I52" i="1"/>
  <c r="J52" i="1"/>
  <c r="K52" i="1"/>
  <c r="L52" i="1"/>
  <c r="M52" i="1"/>
  <c r="N52" i="1"/>
  <c r="O52" i="1"/>
  <c r="F52" i="1"/>
  <c r="I50" i="1"/>
  <c r="M50" i="1"/>
  <c r="H48" i="1"/>
  <c r="I48" i="1"/>
  <c r="L48" i="1"/>
  <c r="M48" i="1"/>
  <c r="F41" i="1"/>
  <c r="F48" i="1" s="1"/>
  <c r="G45" i="1"/>
  <c r="H45" i="1"/>
  <c r="I45" i="1"/>
  <c r="J45" i="1"/>
  <c r="K45" i="1"/>
  <c r="L45" i="1"/>
  <c r="M45" i="1"/>
  <c r="N45" i="1"/>
  <c r="O45" i="1"/>
  <c r="G44" i="1"/>
  <c r="H44" i="1"/>
  <c r="I44" i="1"/>
  <c r="J44" i="1"/>
  <c r="K44" i="1"/>
  <c r="L44" i="1"/>
  <c r="M44" i="1"/>
  <c r="N44" i="1"/>
  <c r="O44" i="1"/>
  <c r="G43" i="1"/>
  <c r="G50" i="1" s="1"/>
  <c r="H43" i="1"/>
  <c r="H50" i="1" s="1"/>
  <c r="I43" i="1"/>
  <c r="J43" i="1"/>
  <c r="J50" i="1" s="1"/>
  <c r="K43" i="1"/>
  <c r="K50" i="1" s="1"/>
  <c r="L43" i="1"/>
  <c r="L50" i="1" s="1"/>
  <c r="M43" i="1"/>
  <c r="N43" i="1"/>
  <c r="N50" i="1" s="1"/>
  <c r="O43" i="1"/>
  <c r="O50" i="1" s="1"/>
  <c r="G42" i="1"/>
  <c r="G49" i="1" s="1"/>
  <c r="H42" i="1"/>
  <c r="H49" i="1" s="1"/>
  <c r="I42" i="1"/>
  <c r="I49" i="1" s="1"/>
  <c r="J42" i="1"/>
  <c r="J49" i="1" s="1"/>
  <c r="K42" i="1"/>
  <c r="K49" i="1" s="1"/>
  <c r="L42" i="1"/>
  <c r="L49" i="1" s="1"/>
  <c r="M42" i="1"/>
  <c r="M49" i="1" s="1"/>
  <c r="N42" i="1"/>
  <c r="N49" i="1" s="1"/>
  <c r="O42" i="1"/>
  <c r="O49" i="1" s="1"/>
  <c r="G41" i="1"/>
  <c r="G48" i="1" s="1"/>
  <c r="H41" i="1"/>
  <c r="I41" i="1"/>
  <c r="J41" i="1"/>
  <c r="J48" i="1" s="1"/>
  <c r="K41" i="1"/>
  <c r="K48" i="1" s="1"/>
  <c r="L41" i="1"/>
  <c r="M41" i="1"/>
  <c r="N41" i="1"/>
  <c r="N48" i="1" s="1"/>
  <c r="O41" i="1"/>
  <c r="O48" i="1" s="1"/>
  <c r="F42" i="1"/>
  <c r="F49" i="1" s="1"/>
  <c r="F43" i="1"/>
  <c r="F50" i="1" s="1"/>
  <c r="F45" i="1"/>
  <c r="Q52" i="1" s="1" a="1"/>
  <c r="Q52" i="1" s="1"/>
  <c r="F44" i="1"/>
  <c r="F51" i="1" s="1"/>
  <c r="Q50" i="1" l="1" a="1"/>
  <c r="Q50" i="1" s="1"/>
  <c r="Q51" i="1" a="1"/>
  <c r="Q51" i="1" s="1"/>
  <c r="P48" i="1"/>
  <c r="K46" i="1"/>
  <c r="L46" i="1"/>
  <c r="G46" i="1"/>
  <c r="N46" i="1"/>
  <c r="M46" i="1"/>
  <c r="O46" i="1"/>
  <c r="J46" i="1"/>
  <c r="I46" i="1"/>
  <c r="H46" i="1"/>
  <c r="P51" i="1"/>
  <c r="F46" i="1"/>
  <c r="Q49" i="1" a="1"/>
  <c r="Q49" i="1" s="1"/>
  <c r="P49" i="1"/>
  <c r="P52" i="1"/>
  <c r="P50" i="1"/>
  <c r="Q48" i="1" a="1"/>
  <c r="Q48" i="1" s="1"/>
  <c r="Q5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<sst xmlns="http://schemas.openxmlformats.org/spreadsheetml/2006/main" count="76" uniqueCount="22">
  <si>
    <t>N/A</t>
  </si>
  <si>
    <t>Zosimo S. Dahonog</t>
  </si>
  <si>
    <t>Buena M. Talisic</t>
  </si>
  <si>
    <t>Susana Guillen</t>
  </si>
  <si>
    <t>Claudine A. Daraman</t>
  </si>
  <si>
    <t>Elvie B. Orzales</t>
  </si>
  <si>
    <t>Pablita S. Malayao</t>
  </si>
  <si>
    <t>Arlyn L. Sumaoy</t>
  </si>
  <si>
    <t>Vanessa Enguito</t>
  </si>
  <si>
    <t>Emelia D. Roluna</t>
  </si>
  <si>
    <t>Hecel C. Palma</t>
  </si>
  <si>
    <t>Erma Parilag</t>
  </si>
  <si>
    <t>Narcita R. Salang</t>
  </si>
  <si>
    <t>Sulpecia A. Daraman</t>
  </si>
  <si>
    <t>Margie D. Gazo</t>
  </si>
  <si>
    <t>Pedra M. Daraman</t>
  </si>
  <si>
    <t>Maribel M. Dahonog</t>
  </si>
  <si>
    <t>Rufa M. Arsolon</t>
  </si>
  <si>
    <t xml:space="preserve"> </t>
  </si>
  <si>
    <t>Oronito G. Abendanio</t>
  </si>
  <si>
    <t>Training on Organizational Strenghthening and Development Batch 3</t>
  </si>
  <si>
    <t>Josephine A. Toribio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</si>
</sst>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333333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0" fillId="0" borderId="0" xfId="0" applyNumberFormat="1"/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" fontId="0" fillId="0" borderId="0" xfId="0" applyNumberFormat="1"/>
    <xf numFmtId="1" fontId="1" fillId="0" borderId="0" xfId="0" applyNumberFormat="1" applyFont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D801-3317-422C-90AB-615592DDAC45}">
  <dimension ref="A1:Q58"/>
  <sheetViews>
    <sheetView tabSelected="1" topLeftCell="A34" zoomScale="70" zoomScaleNormal="70" workbookViewId="0">
      <selection activeCell="P36" sqref="P36"/>
    </sheetView>
  </sheetViews>
  <sheetFormatPr defaultRowHeight="14.5" x14ac:dyDescent="0.35"/>
  <cols>
    <col min="1" max="1" width="9" bestFit="1" customWidth="1"/>
    <col min="4" max="4" width="16.08984375" customWidth="1"/>
    <col min="5" max="5" width="13.453125" bestFit="1" customWidth="1"/>
    <col min="6" max="6" width="12.90625" bestFit="1" customWidth="1"/>
    <col min="7" max="8" width="9" bestFit="1" customWidth="1"/>
    <col min="9" max="9" width="9.1796875" bestFit="1" customWidth="1"/>
    <col min="10" max="15" width="9" bestFit="1" customWidth="1"/>
    <col min="16" max="16" width="14.453125" customWidth="1"/>
    <col min="17" max="17" width="9" bestFit="1" customWidth="1"/>
  </cols>
  <sheetData>
    <row r="1" spans="1:15" ht="40.25" customHeight="1" x14ac:dyDescent="0.35">
      <c r="A1" s="1" t="s">
        <v>0</v>
      </c>
      <c r="B1" s="1"/>
      <c r="C1" s="2" t="s">
        <v>19</v>
      </c>
      <c r="D1" s="2" t="s">
        <v>20</v>
      </c>
      <c r="E1" s="7">
        <v>45861</v>
      </c>
      <c r="F1" s="9">
        <v>5</v>
      </c>
      <c r="G1" s="9">
        <v>5</v>
      </c>
      <c r="H1" s="9">
        <v>5</v>
      </c>
      <c r="I1" s="9">
        <v>5</v>
      </c>
      <c r="J1" s="9">
        <v>5</v>
      </c>
      <c r="K1" s="9">
        <v>5</v>
      </c>
      <c r="L1" s="9">
        <v>5</v>
      </c>
      <c r="M1" s="9">
        <v>5</v>
      </c>
      <c r="N1" s="9">
        <v>5</v>
      </c>
      <c r="O1" s="9">
        <v>5</v>
      </c>
    </row>
    <row r="2" spans="1:15" ht="40.25" customHeight="1" x14ac:dyDescent="0.35">
      <c r="A2" s="1" t="s">
        <v>0</v>
      </c>
      <c r="B2" s="1"/>
      <c r="C2" s="2" t="s">
        <v>19</v>
      </c>
      <c r="D2" s="2" t="s">
        <v>20</v>
      </c>
      <c r="E2" s="7">
        <v>45861</v>
      </c>
      <c r="F2" s="9">
        <v>5</v>
      </c>
      <c r="G2" s="9">
        <v>5</v>
      </c>
      <c r="H2" s="9">
        <v>5</v>
      </c>
      <c r="I2" s="9">
        <v>5</v>
      </c>
      <c r="J2" s="9">
        <v>5</v>
      </c>
      <c r="K2" s="9">
        <v>5</v>
      </c>
      <c r="L2" s="9">
        <v>5</v>
      </c>
      <c r="M2" s="9">
        <v>5</v>
      </c>
      <c r="N2" s="9">
        <v>5</v>
      </c>
      <c r="O2" s="9">
        <v>5</v>
      </c>
    </row>
    <row r="3" spans="1:15" ht="40.25" customHeight="1" x14ac:dyDescent="0.35">
      <c r="A3" s="1" t="s">
        <v>0</v>
      </c>
      <c r="B3" s="1"/>
      <c r="C3" s="2" t="s">
        <v>19</v>
      </c>
      <c r="D3" s="2" t="s">
        <v>20</v>
      </c>
      <c r="E3" s="7">
        <v>45861</v>
      </c>
      <c r="F3" s="9">
        <v>5</v>
      </c>
      <c r="G3" s="9">
        <v>5</v>
      </c>
      <c r="H3" s="9">
        <v>5</v>
      </c>
      <c r="I3" s="9">
        <v>5</v>
      </c>
      <c r="J3" s="9">
        <v>5</v>
      </c>
      <c r="K3" s="9">
        <v>5</v>
      </c>
      <c r="L3" s="9">
        <v>5</v>
      </c>
      <c r="M3" s="9">
        <v>5</v>
      </c>
      <c r="N3" s="9">
        <v>5</v>
      </c>
      <c r="O3" s="9">
        <v>5</v>
      </c>
    </row>
    <row r="4" spans="1:15" ht="40.25" customHeight="1" x14ac:dyDescent="0.35">
      <c r="A4" s="1"/>
      <c r="B4" s="1"/>
      <c r="C4" s="2"/>
      <c r="D4" s="2"/>
      <c r="E4" s="7"/>
      <c r="F4" s="9">
        <v>5</v>
      </c>
      <c r="G4" s="9">
        <v>5</v>
      </c>
      <c r="H4" s="9">
        <v>5</v>
      </c>
      <c r="I4" s="9">
        <v>5</v>
      </c>
      <c r="J4" s="9">
        <v>5</v>
      </c>
      <c r="K4" s="9">
        <v>5</v>
      </c>
      <c r="L4" s="9">
        <v>5</v>
      </c>
      <c r="M4" s="9">
        <v>5</v>
      </c>
      <c r="N4" s="9">
        <v>5</v>
      </c>
      <c r="O4" s="9">
        <v>5</v>
      </c>
    </row>
    <row r="5" spans="1:15" ht="40.25" customHeight="1" x14ac:dyDescent="0.35">
      <c r="A5" s="1"/>
      <c r="B5" s="1"/>
      <c r="C5" s="2"/>
      <c r="D5" s="2"/>
      <c r="E5" s="7"/>
      <c r="F5" s="9">
        <v>5</v>
      </c>
      <c r="G5" s="9">
        <v>5</v>
      </c>
      <c r="H5" s="9">
        <v>5</v>
      </c>
      <c r="I5" s="9">
        <v>5</v>
      </c>
      <c r="J5" s="9">
        <v>5</v>
      </c>
      <c r="K5" s="9">
        <v>5</v>
      </c>
      <c r="L5" s="9">
        <v>5</v>
      </c>
      <c r="M5" s="9">
        <v>5</v>
      </c>
      <c r="N5" s="9">
        <v>5</v>
      </c>
      <c r="O5" s="9">
        <v>5</v>
      </c>
    </row>
    <row r="6" spans="1:15" ht="40.25" customHeight="1" x14ac:dyDescent="0.35">
      <c r="A6" s="1"/>
      <c r="B6" s="1"/>
      <c r="C6" s="2"/>
      <c r="D6" s="2"/>
      <c r="E6" s="7"/>
      <c r="F6" s="9">
        <v>5</v>
      </c>
      <c r="G6" s="9">
        <v>5</v>
      </c>
      <c r="H6" s="9">
        <v>5</v>
      </c>
      <c r="I6" s="9">
        <v>5</v>
      </c>
      <c r="J6" s="9">
        <v>5</v>
      </c>
      <c r="K6" s="9">
        <v>5</v>
      </c>
      <c r="L6" s="9">
        <v>5</v>
      </c>
      <c r="M6" s="9">
        <v>5</v>
      </c>
      <c r="N6" s="9">
        <v>5</v>
      </c>
      <c r="O6" s="9">
        <v>5</v>
      </c>
    </row>
    <row r="7" spans="1:15" ht="40.25" customHeight="1" x14ac:dyDescent="0.35">
      <c r="A7" s="1"/>
      <c r="B7" s="1"/>
      <c r="C7" s="2"/>
      <c r="D7" s="2"/>
      <c r="E7" s="7"/>
      <c r="F7" s="9">
        <v>5</v>
      </c>
      <c r="G7" s="9">
        <v>4</v>
      </c>
      <c r="H7" s="9">
        <v>4</v>
      </c>
      <c r="I7" s="9">
        <v>5</v>
      </c>
      <c r="J7" s="9">
        <v>5</v>
      </c>
      <c r="K7" s="9">
        <v>4</v>
      </c>
      <c r="L7" s="9">
        <v>4</v>
      </c>
      <c r="M7" s="9">
        <v>4</v>
      </c>
      <c r="N7" s="9">
        <v>5</v>
      </c>
      <c r="O7" s="9">
        <v>5</v>
      </c>
    </row>
    <row r="8" spans="1:15" ht="40.25" customHeight="1" x14ac:dyDescent="0.35">
      <c r="A8" s="1"/>
      <c r="B8" s="1"/>
      <c r="C8" s="2"/>
      <c r="D8" s="2"/>
      <c r="E8" s="7"/>
      <c r="F8" s="9">
        <v>5</v>
      </c>
      <c r="G8" s="9">
        <v>5</v>
      </c>
      <c r="H8" s="9">
        <v>5</v>
      </c>
      <c r="I8" s="9">
        <v>5</v>
      </c>
      <c r="J8" s="9">
        <v>5</v>
      </c>
      <c r="K8" s="9">
        <v>5</v>
      </c>
      <c r="L8" s="9">
        <v>5</v>
      </c>
      <c r="M8" s="9">
        <v>5</v>
      </c>
      <c r="N8" s="9">
        <v>5</v>
      </c>
      <c r="O8" s="9">
        <v>5</v>
      </c>
    </row>
    <row r="9" spans="1:15" ht="40.25" customHeight="1" x14ac:dyDescent="0.35">
      <c r="A9" s="1"/>
      <c r="B9" s="1"/>
      <c r="C9" s="2"/>
      <c r="D9" s="2"/>
      <c r="E9" s="7"/>
      <c r="F9" s="9">
        <v>5</v>
      </c>
      <c r="G9" s="9">
        <v>5</v>
      </c>
      <c r="H9" s="9">
        <v>5</v>
      </c>
      <c r="I9" s="9">
        <v>5</v>
      </c>
      <c r="J9" s="9">
        <v>5</v>
      </c>
      <c r="K9" s="9">
        <v>5</v>
      </c>
      <c r="L9" s="9">
        <v>5</v>
      </c>
      <c r="M9" s="9">
        <v>5</v>
      </c>
      <c r="N9" s="9">
        <v>5</v>
      </c>
      <c r="O9" s="9">
        <v>5</v>
      </c>
    </row>
    <row r="10" spans="1:15" ht="40.25" customHeight="1" x14ac:dyDescent="0.35">
      <c r="A10" s="1" t="s">
        <v>0</v>
      </c>
      <c r="B10" s="1"/>
      <c r="C10" s="2" t="s">
        <v>19</v>
      </c>
      <c r="D10" s="2" t="s">
        <v>20</v>
      </c>
      <c r="E10" s="7">
        <v>45861</v>
      </c>
      <c r="F10" s="9">
        <v>5</v>
      </c>
      <c r="G10" s="9">
        <v>5</v>
      </c>
      <c r="H10" s="9">
        <v>5</v>
      </c>
      <c r="I10" s="9">
        <v>5</v>
      </c>
      <c r="J10" s="9">
        <v>5</v>
      </c>
      <c r="K10" s="9">
        <v>5</v>
      </c>
      <c r="L10" s="9">
        <v>5</v>
      </c>
      <c r="M10" s="9">
        <v>5</v>
      </c>
      <c r="N10" s="9">
        <v>5</v>
      </c>
      <c r="O10" s="9">
        <v>5</v>
      </c>
    </row>
    <row r="11" spans="1:15" ht="40.25" customHeight="1" x14ac:dyDescent="0.35">
      <c r="A11" s="1" t="s">
        <v>0</v>
      </c>
      <c r="B11" s="1"/>
      <c r="C11" s="2" t="s">
        <v>19</v>
      </c>
      <c r="D11" s="2" t="s">
        <v>20</v>
      </c>
      <c r="E11" s="7">
        <v>45861</v>
      </c>
      <c r="F11" s="9">
        <v>5</v>
      </c>
      <c r="G11" s="9">
        <v>5</v>
      </c>
      <c r="H11" s="9">
        <v>5</v>
      </c>
      <c r="I11" s="9">
        <v>5</v>
      </c>
      <c r="J11" s="9">
        <v>5</v>
      </c>
      <c r="K11" s="9">
        <v>5</v>
      </c>
      <c r="L11" s="9">
        <v>5</v>
      </c>
      <c r="M11" s="9">
        <v>5</v>
      </c>
      <c r="N11" s="9">
        <v>5</v>
      </c>
      <c r="O11" s="9">
        <v>5</v>
      </c>
    </row>
    <row r="12" spans="1:15" ht="40.25" customHeight="1" x14ac:dyDescent="0.35">
      <c r="A12" s="1" t="s">
        <v>3</v>
      </c>
      <c r="B12" s="8"/>
      <c r="C12" s="2" t="s">
        <v>19</v>
      </c>
      <c r="D12" s="2" t="s">
        <v>20</v>
      </c>
      <c r="E12" s="7">
        <v>45861</v>
      </c>
      <c r="F12" s="9">
        <v>5</v>
      </c>
      <c r="G12" s="9">
        <v>5</v>
      </c>
      <c r="H12" s="9">
        <v>5</v>
      </c>
      <c r="I12" s="9">
        <v>5</v>
      </c>
      <c r="J12" s="9">
        <v>5</v>
      </c>
      <c r="K12" s="9">
        <v>5</v>
      </c>
      <c r="L12" s="9">
        <v>5</v>
      </c>
      <c r="M12" s="9">
        <v>5</v>
      </c>
      <c r="N12" s="9">
        <v>5</v>
      </c>
      <c r="O12" s="9">
        <v>5</v>
      </c>
    </row>
    <row r="13" spans="1:15" ht="40.25" customHeight="1" x14ac:dyDescent="0.35">
      <c r="A13" s="1" t="s">
        <v>4</v>
      </c>
      <c r="B13" s="8"/>
      <c r="C13" s="2" t="s">
        <v>19</v>
      </c>
      <c r="D13" s="2" t="s">
        <v>20</v>
      </c>
      <c r="E13" s="7">
        <v>45861</v>
      </c>
      <c r="F13" s="9">
        <v>5</v>
      </c>
      <c r="G13" s="9">
        <v>4</v>
      </c>
      <c r="H13" s="9">
        <v>5</v>
      </c>
      <c r="I13" s="9">
        <v>5</v>
      </c>
      <c r="J13" s="9">
        <v>5</v>
      </c>
      <c r="K13" s="9">
        <v>5</v>
      </c>
      <c r="L13" s="9">
        <v>5</v>
      </c>
      <c r="M13" s="9">
        <v>5</v>
      </c>
      <c r="N13" s="9">
        <v>5</v>
      </c>
      <c r="O13" s="9">
        <v>5</v>
      </c>
    </row>
    <row r="14" spans="1:15" ht="40.25" customHeight="1" x14ac:dyDescent="0.35">
      <c r="A14" s="1" t="s">
        <v>0</v>
      </c>
      <c r="B14" s="8"/>
      <c r="C14" s="2" t="s">
        <v>19</v>
      </c>
      <c r="D14" s="2" t="s">
        <v>20</v>
      </c>
      <c r="E14" s="7">
        <v>45861</v>
      </c>
      <c r="F14" s="9">
        <v>5</v>
      </c>
      <c r="G14" s="9">
        <v>5</v>
      </c>
      <c r="H14" s="9">
        <v>5</v>
      </c>
      <c r="I14" s="9">
        <v>5</v>
      </c>
      <c r="J14" s="9">
        <v>5</v>
      </c>
      <c r="K14" s="9">
        <v>5</v>
      </c>
      <c r="L14" s="9">
        <v>5</v>
      </c>
      <c r="M14" s="9">
        <v>5</v>
      </c>
      <c r="N14" s="9">
        <v>5</v>
      </c>
      <c r="O14" s="9">
        <v>5</v>
      </c>
    </row>
    <row r="15" spans="1:15" ht="40.25" customHeight="1" x14ac:dyDescent="0.35">
      <c r="A15" s="1" t="s">
        <v>0</v>
      </c>
      <c r="B15" s="8"/>
      <c r="C15" s="2" t="s">
        <v>19</v>
      </c>
      <c r="D15" s="2" t="s">
        <v>20</v>
      </c>
      <c r="E15" s="7">
        <v>45861</v>
      </c>
      <c r="F15" s="9">
        <v>5</v>
      </c>
      <c r="G15" s="9">
        <v>5</v>
      </c>
      <c r="H15" s="9">
        <v>5</v>
      </c>
      <c r="I15" s="9">
        <v>5</v>
      </c>
      <c r="J15" s="9">
        <v>5</v>
      </c>
      <c r="K15" s="9">
        <v>5</v>
      </c>
      <c r="L15" s="9">
        <v>5</v>
      </c>
      <c r="M15" s="9">
        <v>5</v>
      </c>
      <c r="N15" s="9">
        <v>5</v>
      </c>
      <c r="O15" s="9">
        <v>5</v>
      </c>
    </row>
    <row r="16" spans="1:15" ht="40.25" customHeight="1" x14ac:dyDescent="0.35">
      <c r="A16" s="1" t="s">
        <v>6</v>
      </c>
      <c r="B16" s="8"/>
      <c r="C16" s="2" t="s">
        <v>19</v>
      </c>
      <c r="D16" s="2" t="s">
        <v>20</v>
      </c>
      <c r="E16" s="7">
        <v>45861</v>
      </c>
      <c r="F16" s="9">
        <v>4</v>
      </c>
      <c r="G16" s="9">
        <v>4</v>
      </c>
      <c r="H16" s="9">
        <v>4</v>
      </c>
      <c r="I16" s="9">
        <v>5</v>
      </c>
      <c r="J16" s="9">
        <v>5</v>
      </c>
      <c r="K16" s="9">
        <v>5</v>
      </c>
      <c r="L16" s="9">
        <v>5</v>
      </c>
      <c r="M16" s="9">
        <v>5</v>
      </c>
      <c r="N16" s="9">
        <v>5</v>
      </c>
      <c r="O16" s="9">
        <v>5</v>
      </c>
    </row>
    <row r="17" spans="1:15" ht="40.25" customHeight="1" x14ac:dyDescent="0.35">
      <c r="A17" s="1" t="s">
        <v>7</v>
      </c>
      <c r="B17" s="8"/>
      <c r="C17" s="2" t="s">
        <v>19</v>
      </c>
      <c r="D17" s="2" t="s">
        <v>20</v>
      </c>
      <c r="E17" s="7">
        <v>45861</v>
      </c>
      <c r="F17" s="9">
        <v>5</v>
      </c>
      <c r="G17" s="9">
        <v>5</v>
      </c>
      <c r="H17" s="9">
        <v>5</v>
      </c>
      <c r="I17" s="9">
        <v>5</v>
      </c>
      <c r="J17" s="9">
        <v>5</v>
      </c>
      <c r="K17" s="9">
        <v>5</v>
      </c>
      <c r="L17" s="9">
        <v>5</v>
      </c>
      <c r="M17" s="9">
        <v>5</v>
      </c>
      <c r="N17" s="9">
        <v>5</v>
      </c>
      <c r="O17" s="9">
        <v>5</v>
      </c>
    </row>
    <row r="18" spans="1:15" ht="40.25" customHeight="1" x14ac:dyDescent="0.35">
      <c r="A18" s="1" t="s">
        <v>21</v>
      </c>
      <c r="B18" s="8"/>
      <c r="C18" s="2" t="s">
        <v>19</v>
      </c>
      <c r="D18" s="2" t="s">
        <v>20</v>
      </c>
      <c r="E18" s="7">
        <v>45861</v>
      </c>
      <c r="F18" s="9">
        <v>5</v>
      </c>
      <c r="G18" s="9">
        <v>5</v>
      </c>
      <c r="H18" s="9">
        <v>5</v>
      </c>
      <c r="I18" s="9">
        <v>5</v>
      </c>
      <c r="J18" s="9">
        <v>5</v>
      </c>
      <c r="K18" s="9">
        <v>5</v>
      </c>
      <c r="L18" s="9">
        <v>5</v>
      </c>
      <c r="M18" s="9">
        <v>5</v>
      </c>
      <c r="N18" s="9">
        <v>4</v>
      </c>
      <c r="O18" s="9">
        <v>5</v>
      </c>
    </row>
    <row r="19" spans="1:15" ht="40.25" customHeight="1" x14ac:dyDescent="0.35">
      <c r="A19" s="1" t="s">
        <v>8</v>
      </c>
      <c r="B19" s="8"/>
      <c r="C19" s="2" t="s">
        <v>19</v>
      </c>
      <c r="D19" s="2" t="s">
        <v>20</v>
      </c>
      <c r="E19" s="7">
        <v>45861</v>
      </c>
      <c r="F19" s="9">
        <v>4</v>
      </c>
      <c r="G19" s="9">
        <v>4</v>
      </c>
      <c r="H19" s="9">
        <v>4</v>
      </c>
      <c r="I19" s="9">
        <v>4</v>
      </c>
      <c r="J19" s="9">
        <v>4</v>
      </c>
      <c r="K19" s="9">
        <v>4</v>
      </c>
      <c r="L19" s="9">
        <v>4</v>
      </c>
      <c r="M19" s="9">
        <v>4</v>
      </c>
      <c r="N19" s="9">
        <v>4</v>
      </c>
      <c r="O19" s="9">
        <v>4</v>
      </c>
    </row>
    <row r="20" spans="1:15" ht="40.25" customHeight="1" x14ac:dyDescent="0.35">
      <c r="A20" s="1" t="s">
        <v>9</v>
      </c>
      <c r="B20" s="8"/>
      <c r="C20" s="2" t="s">
        <v>19</v>
      </c>
      <c r="D20" s="2" t="s">
        <v>20</v>
      </c>
      <c r="E20" s="7">
        <v>45861</v>
      </c>
      <c r="F20" s="9">
        <v>5</v>
      </c>
      <c r="G20" s="9">
        <v>5</v>
      </c>
      <c r="H20" s="9">
        <v>5</v>
      </c>
      <c r="I20" s="9">
        <v>5</v>
      </c>
      <c r="J20" s="9">
        <v>5</v>
      </c>
      <c r="K20" s="9">
        <v>5</v>
      </c>
      <c r="L20" s="9">
        <v>5</v>
      </c>
      <c r="M20" s="9">
        <v>5</v>
      </c>
      <c r="N20" s="9">
        <v>5</v>
      </c>
      <c r="O20" s="9">
        <v>5</v>
      </c>
    </row>
    <row r="21" spans="1:15" ht="40.25" customHeight="1" x14ac:dyDescent="0.35">
      <c r="A21" s="1" t="s">
        <v>10</v>
      </c>
      <c r="B21" s="8"/>
      <c r="C21" s="2" t="s">
        <v>19</v>
      </c>
      <c r="D21" s="2" t="s">
        <v>20</v>
      </c>
      <c r="E21" s="7">
        <v>45861</v>
      </c>
      <c r="F21" s="9">
        <v>5</v>
      </c>
      <c r="G21" s="9">
        <v>5</v>
      </c>
      <c r="H21" s="9">
        <v>5</v>
      </c>
      <c r="I21" s="9">
        <v>5</v>
      </c>
      <c r="J21" s="9">
        <v>5</v>
      </c>
      <c r="K21" s="9">
        <v>5</v>
      </c>
      <c r="L21" s="9">
        <v>5</v>
      </c>
      <c r="M21" s="9">
        <v>5</v>
      </c>
      <c r="N21" s="9">
        <v>5</v>
      </c>
      <c r="O21" s="9">
        <v>5</v>
      </c>
    </row>
    <row r="22" spans="1:15" ht="40.25" customHeight="1" x14ac:dyDescent="0.35">
      <c r="A22" s="1" t="s">
        <v>11</v>
      </c>
      <c r="B22" s="8"/>
      <c r="C22" s="2" t="s">
        <v>19</v>
      </c>
      <c r="D22" s="2" t="s">
        <v>20</v>
      </c>
      <c r="E22" s="7">
        <v>45861</v>
      </c>
      <c r="F22" s="9">
        <v>5</v>
      </c>
      <c r="G22" s="9">
        <v>5</v>
      </c>
      <c r="H22" s="9">
        <v>5</v>
      </c>
      <c r="I22" s="9">
        <v>5</v>
      </c>
      <c r="J22" s="9">
        <v>5</v>
      </c>
      <c r="K22" s="9">
        <v>5</v>
      </c>
      <c r="L22" s="9">
        <v>5</v>
      </c>
      <c r="M22" s="9">
        <v>5</v>
      </c>
      <c r="N22" s="9">
        <v>5</v>
      </c>
      <c r="O22" s="9">
        <v>5</v>
      </c>
    </row>
    <row r="23" spans="1:15" ht="40.25" customHeight="1" x14ac:dyDescent="0.35">
      <c r="A23" s="1" t="s">
        <v>2</v>
      </c>
      <c r="B23" s="8"/>
      <c r="C23" s="2" t="s">
        <v>19</v>
      </c>
      <c r="D23" s="2" t="s">
        <v>20</v>
      </c>
      <c r="E23" s="7">
        <v>45861</v>
      </c>
      <c r="F23" s="9">
        <v>5</v>
      </c>
      <c r="G23" s="9">
        <v>5</v>
      </c>
      <c r="H23" s="9">
        <v>5</v>
      </c>
      <c r="I23" s="9">
        <v>5</v>
      </c>
      <c r="J23" s="9">
        <v>5</v>
      </c>
      <c r="K23" s="9">
        <v>5</v>
      </c>
      <c r="L23" s="9">
        <v>5</v>
      </c>
      <c r="M23" s="9">
        <v>5</v>
      </c>
      <c r="N23" s="9">
        <v>5</v>
      </c>
      <c r="O23" s="9">
        <v>5</v>
      </c>
    </row>
    <row r="24" spans="1:15" ht="40.25" customHeight="1" x14ac:dyDescent="0.35">
      <c r="A24" s="1"/>
      <c r="B24" s="8"/>
      <c r="C24" s="2"/>
      <c r="D24" s="2"/>
      <c r="E24" s="7"/>
      <c r="F24" s="9">
        <v>5</v>
      </c>
      <c r="G24" s="9">
        <v>5</v>
      </c>
      <c r="H24" s="9">
        <v>5</v>
      </c>
      <c r="I24" s="9">
        <v>5</v>
      </c>
      <c r="J24" s="9">
        <v>5</v>
      </c>
      <c r="K24" s="9">
        <v>5</v>
      </c>
      <c r="L24" s="9">
        <v>5</v>
      </c>
      <c r="M24" s="9">
        <v>5</v>
      </c>
      <c r="N24" s="9">
        <v>5</v>
      </c>
      <c r="O24" s="9">
        <v>5</v>
      </c>
    </row>
    <row r="25" spans="1:15" ht="40.25" customHeight="1" x14ac:dyDescent="0.35">
      <c r="A25" s="1"/>
      <c r="B25" s="8"/>
      <c r="C25" s="2"/>
      <c r="D25" s="2"/>
      <c r="E25" s="7"/>
      <c r="F25" s="9">
        <v>5</v>
      </c>
      <c r="G25" s="9">
        <v>5</v>
      </c>
      <c r="H25" s="9">
        <v>5</v>
      </c>
      <c r="I25" s="9">
        <v>5</v>
      </c>
      <c r="J25" s="9">
        <v>5</v>
      </c>
      <c r="K25" s="9">
        <v>5</v>
      </c>
      <c r="L25" s="9">
        <v>5</v>
      </c>
      <c r="M25" s="9">
        <v>5</v>
      </c>
      <c r="N25" s="9">
        <v>5</v>
      </c>
      <c r="O25" s="9">
        <v>5</v>
      </c>
    </row>
    <row r="26" spans="1:15" ht="40.25" customHeight="1" x14ac:dyDescent="0.35">
      <c r="A26" s="1" t="s">
        <v>1</v>
      </c>
      <c r="B26" s="8"/>
      <c r="C26" s="2" t="s">
        <v>19</v>
      </c>
      <c r="D26" s="2" t="s">
        <v>20</v>
      </c>
      <c r="E26" s="7">
        <v>45861</v>
      </c>
      <c r="F26" s="9">
        <v>5</v>
      </c>
      <c r="G26" s="9">
        <v>5</v>
      </c>
      <c r="H26" s="9">
        <v>5</v>
      </c>
      <c r="I26" s="9">
        <v>5</v>
      </c>
      <c r="J26" s="9">
        <v>5</v>
      </c>
      <c r="K26" s="9">
        <v>5</v>
      </c>
      <c r="L26" s="9">
        <v>5</v>
      </c>
      <c r="M26" s="9">
        <v>5</v>
      </c>
      <c r="N26" s="9">
        <v>5</v>
      </c>
      <c r="O26" s="9">
        <v>5</v>
      </c>
    </row>
    <row r="27" spans="1:15" ht="40.25" customHeight="1" x14ac:dyDescent="0.35">
      <c r="A27" s="1" t="s">
        <v>12</v>
      </c>
      <c r="B27" s="8"/>
      <c r="C27" s="2" t="s">
        <v>19</v>
      </c>
      <c r="D27" s="2" t="s">
        <v>20</v>
      </c>
      <c r="E27" s="7">
        <v>45861</v>
      </c>
      <c r="F27" s="9">
        <v>5</v>
      </c>
      <c r="G27" s="9">
        <v>5</v>
      </c>
      <c r="H27" s="9">
        <v>5</v>
      </c>
      <c r="I27" s="9">
        <v>5</v>
      </c>
      <c r="J27" s="9">
        <v>5</v>
      </c>
      <c r="K27" s="9">
        <v>5</v>
      </c>
      <c r="L27" s="9">
        <v>5</v>
      </c>
      <c r="M27" s="9">
        <v>5</v>
      </c>
      <c r="N27" s="9">
        <v>5</v>
      </c>
      <c r="O27" s="9">
        <v>5</v>
      </c>
    </row>
    <row r="28" spans="1:15" ht="40.25" customHeight="1" x14ac:dyDescent="0.35">
      <c r="A28" s="1" t="s">
        <v>13</v>
      </c>
      <c r="B28" s="8"/>
      <c r="C28" s="2" t="s">
        <v>19</v>
      </c>
      <c r="D28" s="2" t="s">
        <v>20</v>
      </c>
      <c r="E28" s="7">
        <v>45861</v>
      </c>
      <c r="F28" s="9">
        <v>5</v>
      </c>
      <c r="G28" s="9">
        <v>5</v>
      </c>
      <c r="H28" s="9">
        <v>5</v>
      </c>
      <c r="I28" s="9">
        <v>5</v>
      </c>
      <c r="J28" s="9">
        <v>5</v>
      </c>
      <c r="K28" s="9">
        <v>5</v>
      </c>
      <c r="L28" s="9">
        <v>5</v>
      </c>
      <c r="M28" s="9">
        <v>5</v>
      </c>
      <c r="N28" s="9">
        <v>5</v>
      </c>
      <c r="O28" s="9">
        <v>5</v>
      </c>
    </row>
    <row r="29" spans="1:15" ht="40.25" customHeight="1" x14ac:dyDescent="0.35">
      <c r="A29" s="1" t="s">
        <v>14</v>
      </c>
      <c r="B29" s="8"/>
      <c r="C29" s="2" t="s">
        <v>19</v>
      </c>
      <c r="D29" s="2" t="s">
        <v>20</v>
      </c>
      <c r="E29" s="7">
        <v>45861</v>
      </c>
      <c r="F29" s="9">
        <v>5</v>
      </c>
      <c r="G29" s="9">
        <v>5</v>
      </c>
      <c r="H29" s="9">
        <v>5</v>
      </c>
      <c r="I29" s="9">
        <v>5</v>
      </c>
      <c r="J29" s="9">
        <v>5</v>
      </c>
      <c r="K29" s="9">
        <v>5</v>
      </c>
      <c r="L29" s="9">
        <v>5</v>
      </c>
      <c r="M29" s="9">
        <v>5</v>
      </c>
      <c r="N29" s="9">
        <v>5</v>
      </c>
      <c r="O29" s="9">
        <v>5</v>
      </c>
    </row>
    <row r="30" spans="1:15" ht="40.25" customHeight="1" x14ac:dyDescent="0.35">
      <c r="A30" s="1" t="s">
        <v>15</v>
      </c>
      <c r="B30" s="8"/>
      <c r="C30" s="2" t="s">
        <v>19</v>
      </c>
      <c r="D30" s="2" t="s">
        <v>20</v>
      </c>
      <c r="E30" s="7">
        <v>45861</v>
      </c>
      <c r="F30" s="9">
        <v>5</v>
      </c>
      <c r="G30" s="9">
        <v>5</v>
      </c>
      <c r="H30" s="9">
        <v>5</v>
      </c>
      <c r="I30" s="9">
        <v>5</v>
      </c>
      <c r="J30" s="9">
        <v>5</v>
      </c>
      <c r="K30" s="9">
        <v>5</v>
      </c>
      <c r="L30" s="9">
        <v>5</v>
      </c>
      <c r="M30" s="9">
        <v>5</v>
      </c>
      <c r="N30" s="9">
        <v>5</v>
      </c>
      <c r="O30" s="9">
        <v>5</v>
      </c>
    </row>
    <row r="31" spans="1:15" ht="40.25" customHeight="1" x14ac:dyDescent="0.35">
      <c r="A31" s="1" t="s">
        <v>16</v>
      </c>
      <c r="B31" s="8"/>
      <c r="C31" s="2" t="s">
        <v>19</v>
      </c>
      <c r="D31" s="2" t="s">
        <v>20</v>
      </c>
      <c r="E31" s="7">
        <v>45861</v>
      </c>
      <c r="F31" s="9">
        <v>5</v>
      </c>
      <c r="G31" s="9">
        <v>5</v>
      </c>
      <c r="H31" s="9">
        <v>5</v>
      </c>
      <c r="I31" s="9">
        <v>5</v>
      </c>
      <c r="J31" s="9">
        <v>5</v>
      </c>
      <c r="K31" s="9">
        <v>5</v>
      </c>
      <c r="L31" s="9">
        <v>5</v>
      </c>
      <c r="M31" s="9">
        <v>5</v>
      </c>
      <c r="N31" s="9">
        <v>5</v>
      </c>
      <c r="O31" s="9">
        <v>5</v>
      </c>
    </row>
    <row r="32" spans="1:15" ht="40.25" customHeight="1" x14ac:dyDescent="0.35">
      <c r="A32" s="1" t="s">
        <v>17</v>
      </c>
      <c r="B32" s="8"/>
      <c r="C32" s="2" t="s">
        <v>19</v>
      </c>
      <c r="D32" s="2" t="s">
        <v>20</v>
      </c>
      <c r="E32" s="7">
        <v>45861</v>
      </c>
    </row>
    <row r="33" spans="1:17" ht="40.25" customHeight="1" x14ac:dyDescent="0.35">
      <c r="A33" s="1"/>
      <c r="B33" s="8"/>
      <c r="C33" s="2"/>
      <c r="D33" s="2"/>
      <c r="E33" s="7"/>
    </row>
    <row r="34" spans="1:17" ht="40.25" customHeight="1" x14ac:dyDescent="0.35">
      <c r="A34" s="1"/>
      <c r="B34" s="8"/>
      <c r="C34" s="2"/>
      <c r="D34" s="2"/>
      <c r="E34" s="7"/>
    </row>
    <row r="35" spans="1:17" ht="40.25" customHeight="1" x14ac:dyDescent="0.35">
      <c r="A35" s="1"/>
      <c r="B35" s="8"/>
      <c r="C35" s="2"/>
      <c r="D35" s="2"/>
      <c r="E35" s="7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7" ht="40.25" customHeight="1" x14ac:dyDescent="0.35">
      <c r="A36" s="1"/>
      <c r="B36" s="8"/>
      <c r="C36" s="2"/>
      <c r="D36" s="2"/>
      <c r="E36" s="7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7" ht="40.25" customHeight="1" x14ac:dyDescent="0.35">
      <c r="A37" s="1"/>
      <c r="B37" s="8"/>
      <c r="C37" s="2"/>
      <c r="D37" s="2"/>
      <c r="E37" s="7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7" ht="40.25" customHeight="1" x14ac:dyDescent="0.35">
      <c r="A38" s="1" t="s">
        <v>5</v>
      </c>
      <c r="B38" s="8"/>
      <c r="C38" s="2" t="s">
        <v>19</v>
      </c>
      <c r="D38" s="2" t="s">
        <v>20</v>
      </c>
      <c r="E38" s="7">
        <v>45861</v>
      </c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7" ht="15" x14ac:dyDescent="0.35">
      <c r="I39" s="5">
        <v>0</v>
      </c>
      <c r="K39" s="5">
        <v>0</v>
      </c>
      <c r="L39" s="5">
        <v>0</v>
      </c>
    </row>
    <row r="40" spans="1:17" s="11" customFormat="1" ht="15" x14ac:dyDescent="0.35">
      <c r="I40" s="12"/>
      <c r="K40" s="12"/>
      <c r="L40" s="13"/>
    </row>
    <row r="41" spans="1:17" x14ac:dyDescent="0.35">
      <c r="D41">
        <v>1</v>
      </c>
      <c r="F41" s="9">
        <f>COUNTIF(F1:F38,1)</f>
        <v>0</v>
      </c>
      <c r="G41" s="9">
        <f t="shared" ref="G41:O41" si="0">COUNTIF(G1:G38,1)</f>
        <v>0</v>
      </c>
      <c r="H41" s="9">
        <f t="shared" si="0"/>
        <v>0</v>
      </c>
      <c r="I41" s="9">
        <f t="shared" si="0"/>
        <v>0</v>
      </c>
      <c r="J41" s="9">
        <f t="shared" si="0"/>
        <v>0</v>
      </c>
      <c r="K41" s="9">
        <f t="shared" si="0"/>
        <v>0</v>
      </c>
      <c r="L41" s="9">
        <f t="shared" si="0"/>
        <v>0</v>
      </c>
      <c r="M41" s="9">
        <f t="shared" si="0"/>
        <v>0</v>
      </c>
      <c r="N41" s="9">
        <f t="shared" si="0"/>
        <v>0</v>
      </c>
      <c r="O41" s="9">
        <f t="shared" si="0"/>
        <v>0</v>
      </c>
    </row>
    <row r="42" spans="1:17" x14ac:dyDescent="0.35">
      <c r="D42">
        <v>2</v>
      </c>
      <c r="F42" s="9">
        <f>COUNTIF(F1:F38,2)</f>
        <v>0</v>
      </c>
      <c r="G42" s="9">
        <f t="shared" ref="G42:O42" si="1">COUNTIF(G1:G38,2)</f>
        <v>0</v>
      </c>
      <c r="H42" s="9">
        <f t="shared" si="1"/>
        <v>0</v>
      </c>
      <c r="I42" s="9">
        <f t="shared" si="1"/>
        <v>0</v>
      </c>
      <c r="J42" s="9">
        <f t="shared" si="1"/>
        <v>0</v>
      </c>
      <c r="K42" s="9">
        <f t="shared" si="1"/>
        <v>0</v>
      </c>
      <c r="L42" s="9">
        <f t="shared" si="1"/>
        <v>0</v>
      </c>
      <c r="M42" s="9">
        <f t="shared" si="1"/>
        <v>0</v>
      </c>
      <c r="N42" s="9">
        <f t="shared" si="1"/>
        <v>0</v>
      </c>
      <c r="O42" s="9">
        <f t="shared" si="1"/>
        <v>0</v>
      </c>
    </row>
    <row r="43" spans="1:17" x14ac:dyDescent="0.35">
      <c r="D43">
        <v>3</v>
      </c>
      <c r="F43">
        <f>COUNTIF(F1:F38,3)</f>
        <v>0</v>
      </c>
      <c r="G43">
        <f t="shared" ref="G43:O43" si="2">COUNTIF(G1:G38,3)</f>
        <v>0</v>
      </c>
      <c r="H43">
        <f t="shared" si="2"/>
        <v>0</v>
      </c>
      <c r="I43">
        <f t="shared" si="2"/>
        <v>0</v>
      </c>
      <c r="J43">
        <f t="shared" si="2"/>
        <v>0</v>
      </c>
      <c r="K43">
        <f t="shared" si="2"/>
        <v>0</v>
      </c>
      <c r="L43">
        <f t="shared" si="2"/>
        <v>0</v>
      </c>
      <c r="M43">
        <f t="shared" si="2"/>
        <v>0</v>
      </c>
      <c r="N43">
        <f t="shared" si="2"/>
        <v>0</v>
      </c>
      <c r="O43">
        <f t="shared" si="2"/>
        <v>0</v>
      </c>
    </row>
    <row r="44" spans="1:17" ht="15" x14ac:dyDescent="0.35">
      <c r="D44">
        <v>4</v>
      </c>
      <c r="E44" s="4"/>
      <c r="F44" s="3">
        <f>COUNTIF(F1:F38,4)</f>
        <v>2</v>
      </c>
      <c r="G44" s="3">
        <f t="shared" ref="G44:O44" si="3">COUNTIF(G1:G38,4)</f>
        <v>4</v>
      </c>
      <c r="H44" s="3">
        <f t="shared" si="3"/>
        <v>3</v>
      </c>
      <c r="I44" s="3">
        <f t="shared" si="3"/>
        <v>1</v>
      </c>
      <c r="J44" s="3">
        <f t="shared" si="3"/>
        <v>1</v>
      </c>
      <c r="K44" s="3">
        <f t="shared" si="3"/>
        <v>2</v>
      </c>
      <c r="L44" s="3">
        <f t="shared" si="3"/>
        <v>2</v>
      </c>
      <c r="M44" s="3">
        <f t="shared" si="3"/>
        <v>2</v>
      </c>
      <c r="N44" s="3">
        <f t="shared" si="3"/>
        <v>2</v>
      </c>
      <c r="O44" s="3">
        <f t="shared" si="3"/>
        <v>1</v>
      </c>
    </row>
    <row r="45" spans="1:17" ht="15" x14ac:dyDescent="0.35">
      <c r="D45">
        <v>5</v>
      </c>
      <c r="E45" s="4"/>
      <c r="F45" s="3">
        <f>COUNTIF(F1:F38,5)</f>
        <v>29</v>
      </c>
      <c r="G45" s="3">
        <f t="shared" ref="G45:O45" si="4">COUNTIF(G1:G38,5)</f>
        <v>27</v>
      </c>
      <c r="H45" s="3">
        <f t="shared" si="4"/>
        <v>28</v>
      </c>
      <c r="I45" s="3">
        <f t="shared" si="4"/>
        <v>30</v>
      </c>
      <c r="J45" s="3">
        <f t="shared" si="4"/>
        <v>30</v>
      </c>
      <c r="K45" s="3">
        <f t="shared" si="4"/>
        <v>29</v>
      </c>
      <c r="L45" s="3">
        <f t="shared" si="4"/>
        <v>29</v>
      </c>
      <c r="M45" s="3">
        <f t="shared" si="4"/>
        <v>29</v>
      </c>
      <c r="N45" s="3">
        <f t="shared" si="4"/>
        <v>29</v>
      </c>
      <c r="O45" s="3">
        <f t="shared" si="4"/>
        <v>30</v>
      </c>
    </row>
    <row r="46" spans="1:17" ht="15" x14ac:dyDescent="0.35">
      <c r="E46" s="4"/>
      <c r="F46" s="10">
        <f>SUM(F41:F45)</f>
        <v>31</v>
      </c>
      <c r="G46" s="10">
        <f t="shared" ref="G46:O46" si="5">SUM(G41:G45)</f>
        <v>31</v>
      </c>
      <c r="H46" s="10">
        <f t="shared" si="5"/>
        <v>31</v>
      </c>
      <c r="I46" s="10">
        <f t="shared" si="5"/>
        <v>31</v>
      </c>
      <c r="J46" s="10">
        <f t="shared" si="5"/>
        <v>31</v>
      </c>
      <c r="K46" s="10">
        <f t="shared" si="5"/>
        <v>31</v>
      </c>
      <c r="L46" s="10">
        <f t="shared" si="5"/>
        <v>31</v>
      </c>
      <c r="M46" s="10">
        <f t="shared" si="5"/>
        <v>31</v>
      </c>
      <c r="N46" s="10">
        <f t="shared" si="5"/>
        <v>31</v>
      </c>
      <c r="O46" s="10">
        <f t="shared" si="5"/>
        <v>31</v>
      </c>
    </row>
    <row r="47" spans="1:17" s="11" customFormat="1" ht="15" x14ac:dyDescent="0.35">
      <c r="E47" s="14"/>
      <c r="F47" s="15">
        <v>1</v>
      </c>
      <c r="G47" s="15">
        <v>2</v>
      </c>
      <c r="H47" s="15">
        <v>3</v>
      </c>
      <c r="I47" s="15">
        <v>4</v>
      </c>
      <c r="J47" s="15">
        <v>5</v>
      </c>
      <c r="K47" s="15">
        <v>6</v>
      </c>
      <c r="L47" s="15">
        <v>7</v>
      </c>
      <c r="M47" s="15">
        <v>8</v>
      </c>
      <c r="N47" s="15">
        <v>9</v>
      </c>
      <c r="O47" s="12">
        <v>10</v>
      </c>
    </row>
    <row r="48" spans="1:17" ht="15" x14ac:dyDescent="0.35">
      <c r="D48">
        <v>1</v>
      </c>
      <c r="E48" s="4"/>
      <c r="F48" s="3">
        <f>F41/31*100</f>
        <v>0</v>
      </c>
      <c r="G48" s="3">
        <f t="shared" ref="G48:O48" si="6">G41/31*100</f>
        <v>0</v>
      </c>
      <c r="H48" s="3">
        <f t="shared" si="6"/>
        <v>0</v>
      </c>
      <c r="I48" s="3">
        <f t="shared" si="6"/>
        <v>0</v>
      </c>
      <c r="J48" s="3">
        <f t="shared" si="6"/>
        <v>0</v>
      </c>
      <c r="K48" s="3">
        <f t="shared" si="6"/>
        <v>0</v>
      </c>
      <c r="L48" s="3">
        <f t="shared" si="6"/>
        <v>0</v>
      </c>
      <c r="M48" s="3">
        <f t="shared" si="6"/>
        <v>0</v>
      </c>
      <c r="N48" s="3">
        <f t="shared" si="6"/>
        <v>0</v>
      </c>
      <c r="O48" s="3">
        <f t="shared" si="6"/>
        <v>0</v>
      </c>
      <c r="P48" s="3">
        <f>SUM(F48:O48)</f>
        <v>0</v>
      </c>
      <c r="Q48" s="3" cm="1">
        <f t="array" ref="Q48">SUM(F48:O48/10)</f>
        <v>0</v>
      </c>
    </row>
    <row r="49" spans="4:17" ht="15" x14ac:dyDescent="0.35">
      <c r="D49">
        <v>2</v>
      </c>
      <c r="E49" s="4"/>
      <c r="F49" s="3">
        <f>F42/31*100</f>
        <v>0</v>
      </c>
      <c r="G49" s="3">
        <f t="shared" ref="G49:O49" si="7">G42/31*100</f>
        <v>0</v>
      </c>
      <c r="H49" s="3">
        <f t="shared" si="7"/>
        <v>0</v>
      </c>
      <c r="I49" s="3">
        <f t="shared" si="7"/>
        <v>0</v>
      </c>
      <c r="J49" s="3">
        <f t="shared" si="7"/>
        <v>0</v>
      </c>
      <c r="K49" s="3">
        <f t="shared" si="7"/>
        <v>0</v>
      </c>
      <c r="L49" s="3">
        <f t="shared" si="7"/>
        <v>0</v>
      </c>
      <c r="M49" s="3">
        <f t="shared" si="7"/>
        <v>0</v>
      </c>
      <c r="N49" s="3">
        <f t="shared" si="7"/>
        <v>0</v>
      </c>
      <c r="O49" s="3">
        <f t="shared" si="7"/>
        <v>0</v>
      </c>
      <c r="P49" s="3">
        <f>SUM(F49:O49)</f>
        <v>0</v>
      </c>
      <c r="Q49" s="3" cm="1">
        <f t="array" ref="Q49">SUM(F49:O49/10)</f>
        <v>0</v>
      </c>
    </row>
    <row r="50" spans="4:17" ht="15" x14ac:dyDescent="0.35">
      <c r="D50">
        <v>3</v>
      </c>
      <c r="F50" s="3">
        <f>F43/31*100</f>
        <v>0</v>
      </c>
      <c r="G50" s="3">
        <f t="shared" ref="G50:O50" si="8">G43/31*100</f>
        <v>0</v>
      </c>
      <c r="H50" s="3">
        <f t="shared" si="8"/>
        <v>0</v>
      </c>
      <c r="I50" s="3">
        <f t="shared" si="8"/>
        <v>0</v>
      </c>
      <c r="J50" s="3">
        <f t="shared" si="8"/>
        <v>0</v>
      </c>
      <c r="K50" s="3">
        <f t="shared" si="8"/>
        <v>0</v>
      </c>
      <c r="L50" s="3">
        <f t="shared" si="8"/>
        <v>0</v>
      </c>
      <c r="M50" s="3">
        <f t="shared" si="8"/>
        <v>0</v>
      </c>
      <c r="N50" s="3">
        <f t="shared" si="8"/>
        <v>0</v>
      </c>
      <c r="O50" s="3">
        <f t="shared" si="8"/>
        <v>0</v>
      </c>
      <c r="P50" s="3">
        <f t="shared" ref="P50" si="9">SUM(F50:O50)</f>
        <v>0</v>
      </c>
      <c r="Q50" s="3" cm="1">
        <f t="array" ref="Q50">SUM(F50:O50/10)</f>
        <v>0</v>
      </c>
    </row>
    <row r="51" spans="4:17" ht="15" x14ac:dyDescent="0.35">
      <c r="D51">
        <v>4</v>
      </c>
      <c r="F51" s="3">
        <f>F44/31*100</f>
        <v>6.4516129032258061</v>
      </c>
      <c r="G51" s="3">
        <f t="shared" ref="G51:O51" si="10">G44/31*100</f>
        <v>12.903225806451612</v>
      </c>
      <c r="H51" s="3">
        <f t="shared" si="10"/>
        <v>9.67741935483871</v>
      </c>
      <c r="I51" s="3">
        <f t="shared" si="10"/>
        <v>3.225806451612903</v>
      </c>
      <c r="J51" s="3">
        <f t="shared" si="10"/>
        <v>3.225806451612903</v>
      </c>
      <c r="K51" s="3">
        <f t="shared" si="10"/>
        <v>6.4516129032258061</v>
      </c>
      <c r="L51" s="3">
        <f t="shared" si="10"/>
        <v>6.4516129032258061</v>
      </c>
      <c r="M51" s="3">
        <f t="shared" si="10"/>
        <v>6.4516129032258061</v>
      </c>
      <c r="N51" s="3">
        <f t="shared" si="10"/>
        <v>6.4516129032258061</v>
      </c>
      <c r="O51" s="3">
        <f t="shared" si="10"/>
        <v>3.225806451612903</v>
      </c>
      <c r="P51" s="3">
        <f>SUM(F51:O51)</f>
        <v>64.516129032258064</v>
      </c>
      <c r="Q51" s="3" cm="1">
        <f t="array" ref="Q51">SUM(F51:O51/10)</f>
        <v>6.4516129032258078</v>
      </c>
    </row>
    <row r="52" spans="4:17" ht="15" x14ac:dyDescent="0.35">
      <c r="D52">
        <v>5</v>
      </c>
      <c r="F52" s="3">
        <f>F45/31*100</f>
        <v>93.548387096774192</v>
      </c>
      <c r="G52" s="3">
        <f t="shared" ref="G52:O52" si="11">G45/31*100</f>
        <v>87.096774193548384</v>
      </c>
      <c r="H52" s="3">
        <f t="shared" si="11"/>
        <v>90.322580645161281</v>
      </c>
      <c r="I52" s="3">
        <f t="shared" si="11"/>
        <v>96.774193548387103</v>
      </c>
      <c r="J52" s="3">
        <f t="shared" si="11"/>
        <v>96.774193548387103</v>
      </c>
      <c r="K52" s="3">
        <f t="shared" si="11"/>
        <v>93.548387096774192</v>
      </c>
      <c r="L52" s="3">
        <f t="shared" si="11"/>
        <v>93.548387096774192</v>
      </c>
      <c r="M52" s="3">
        <f t="shared" si="11"/>
        <v>93.548387096774192</v>
      </c>
      <c r="N52" s="3">
        <f t="shared" si="11"/>
        <v>93.548387096774192</v>
      </c>
      <c r="O52" s="3">
        <f t="shared" si="11"/>
        <v>96.774193548387103</v>
      </c>
      <c r="P52" s="16">
        <f>SUM(F52:O52)</f>
        <v>935.48387096774172</v>
      </c>
      <c r="Q52" s="3" cm="1">
        <f t="array" ref="Q52">SUM(F52:O52/10)</f>
        <v>93.548387096774206</v>
      </c>
    </row>
    <row r="53" spans="4:17" x14ac:dyDescent="0.35">
      <c r="Q53" s="6"/>
    </row>
    <row r="54" spans="4:17" ht="15" x14ac:dyDescent="0.35">
      <c r="K54" s="6"/>
      <c r="Q54" s="3">
        <f>SUM(Q48:Q52)</f>
        <v>100.00000000000001</v>
      </c>
    </row>
    <row r="58" spans="4:17" x14ac:dyDescent="0.35">
      <c r="P58" t="s">
        <v>18</v>
      </c>
    </row>
  </sheetData>
  <protectedRanges>
    <protectedRange sqref="A1:D38 F1:O31 F35:O38" name="Range1_3"/>
    <protectedRange sqref="E1:E38" name="Range1_1_2"/>
  </protectedRanges>
  <dataValidations count="2">
    <dataValidation type="date" operator="greaterThan" showErrorMessage="1" errorTitle="date format should be YYYY-MM-DD" error="date format should be YYYY-MM-DD" sqref="E1:E38" xr:uid="{9BEE7DDC-46E6-4DAD-B04D-2435687B8F2F}">
      <formula1>45658</formula1>
    </dataValidation>
    <dataValidation type="whole" allowBlank="1" showErrorMessage="1" errorTitle="only 1-5 values allowed" error="only 1-5 values allowed" sqref="F1:O38" xr:uid="{E2754E3A-2EDB-4CC2-A0E9-83A8D5DB1513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ATI-13 Livestock</dc:creator>
  <cp:lastModifiedBy>Dether John Olaguir</cp:lastModifiedBy>
  <dcterms:created xsi:type="dcterms:W3CDTF">2025-10-09T05:07:43Z</dcterms:created>
  <dcterms:modified xsi:type="dcterms:W3CDTF">2026-05-27T13:44:16Z</dcterms:modified>
</cp:coreProperties>
</file>